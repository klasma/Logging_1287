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57811-2022</t>
        </is>
      </c>
      <c r="B2" s="1" t="n">
        <v>44897</v>
      </c>
      <c r="C2" s="1" t="n">
        <v>46193</v>
      </c>
      <c r="D2" t="inlineStr">
        <is>
          <t>SKÅNE LÄN</t>
        </is>
      </c>
      <c r="E2" t="inlineStr">
        <is>
          <t>TRELLEBORG</t>
        </is>
      </c>
      <c r="G2" t="n">
        <v>2.2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Skogsveronika</t>
        </is>
      </c>
      <c r="S2">
        <f>HYPERLINK("https://klasma.github.io/Logging_1287/artfynd/A 57811-2022 artfynd.xlsx", "A 57811-2022")</f>
        <v/>
      </c>
      <c r="T2">
        <f>HYPERLINK("https://klasma.github.io/Logging_1287/kartor/A 57811-2022 karta.png", "A 57811-2022")</f>
        <v/>
      </c>
      <c r="V2">
        <f>HYPERLINK("https://klasma.github.io/Logging_1287/klagomål/A 57811-2022 FSC-klagomål.docx", "A 57811-2022")</f>
        <v/>
      </c>
      <c r="W2">
        <f>HYPERLINK("https://klasma.github.io/Logging_1287/klagomålsmail/A 57811-2022 FSC-klagomål mail.docx", "A 57811-2022")</f>
        <v/>
      </c>
      <c r="X2">
        <f>HYPERLINK("https://klasma.github.io/Logging_1287/tillsyn/A 57811-2022 tillsynsbegäran.docx", "A 57811-2022")</f>
        <v/>
      </c>
      <c r="Y2">
        <f>HYPERLINK("https://klasma.github.io/Logging_1287/tillsynsmail/A 57811-2022 tillsynsbegäran mail.docx", "A 57811-2022")</f>
        <v/>
      </c>
    </row>
    <row r="3" ht="15" customHeight="1">
      <c r="A3" t="inlineStr">
        <is>
          <t>A 25610-2024</t>
        </is>
      </c>
      <c r="B3" s="1" t="n">
        <v>45463</v>
      </c>
      <c r="C3" s="1" t="n">
        <v>46193</v>
      </c>
      <c r="D3" t="inlineStr">
        <is>
          <t>SKÅNE LÄN</t>
        </is>
      </c>
      <c r="E3" t="inlineStr">
        <is>
          <t>TRELLEBORG</t>
        </is>
      </c>
      <c r="G3" t="n">
        <v>2.9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Mandelriska</t>
        </is>
      </c>
      <c r="S3">
        <f>HYPERLINK("https://klasma.github.io/Logging_1287/artfynd/A 25610-2024 artfynd.xlsx", "A 25610-2024")</f>
        <v/>
      </c>
      <c r="T3">
        <f>HYPERLINK("https://klasma.github.io/Logging_1287/kartor/A 25610-2024 karta.png", "A 25610-2024")</f>
        <v/>
      </c>
      <c r="V3">
        <f>HYPERLINK("https://klasma.github.io/Logging_1287/klagomål/A 25610-2024 FSC-klagomål.docx", "A 25610-2024")</f>
        <v/>
      </c>
      <c r="W3">
        <f>HYPERLINK("https://klasma.github.io/Logging_1287/klagomålsmail/A 25610-2024 FSC-klagomål mail.docx", "A 25610-2024")</f>
        <v/>
      </c>
      <c r="X3">
        <f>HYPERLINK("https://klasma.github.io/Logging_1287/tillsyn/A 25610-2024 tillsynsbegäran.docx", "A 25610-2024")</f>
        <v/>
      </c>
      <c r="Y3">
        <f>HYPERLINK("https://klasma.github.io/Logging_1287/tillsynsmail/A 25610-2024 tillsynsbegäran mail.docx", "A 25610-2024")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46193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6314-2022</t>
        </is>
      </c>
      <c r="B5" s="1" t="n">
        <v>44600</v>
      </c>
      <c r="C5" s="1" t="n">
        <v>46193</v>
      </c>
      <c r="D5" t="inlineStr">
        <is>
          <t>SKÅNE LÄN</t>
        </is>
      </c>
      <c r="E5" t="inlineStr">
        <is>
          <t>TRELLEBORG</t>
        </is>
      </c>
      <c r="G5" t="n">
        <v>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65675-2021</t>
        </is>
      </c>
      <c r="B6" s="1" t="n">
        <v>44516</v>
      </c>
      <c r="C6" s="1" t="n">
        <v>46193</v>
      </c>
      <c r="D6" t="inlineStr">
        <is>
          <t>SKÅNE LÄN</t>
        </is>
      </c>
      <c r="E6" t="inlineStr">
        <is>
          <t>TRELLEBORG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57810-2022</t>
        </is>
      </c>
      <c r="B7" s="1" t="n">
        <v>44897</v>
      </c>
      <c r="C7" s="1" t="n">
        <v>46193</v>
      </c>
      <c r="D7" t="inlineStr">
        <is>
          <t>SKÅNE LÄN</t>
        </is>
      </c>
      <c r="E7" t="inlineStr">
        <is>
          <t>TRELLEBORG</t>
        </is>
      </c>
      <c r="G7" t="n">
        <v>3.3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65640-2021</t>
        </is>
      </c>
      <c r="B8" s="1" t="n">
        <v>44516</v>
      </c>
      <c r="C8" s="1" t="n">
        <v>46193</v>
      </c>
      <c r="D8" t="inlineStr">
        <is>
          <t>SKÅNE LÄN</t>
        </is>
      </c>
      <c r="E8" t="inlineStr">
        <is>
          <t>TRELLEBORG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33037-2025</t>
        </is>
      </c>
      <c r="B9" s="1" t="n">
        <v>45840</v>
      </c>
      <c r="C9" s="1" t="n">
        <v>46193</v>
      </c>
      <c r="D9" t="inlineStr">
        <is>
          <t>SKÅNE LÄN</t>
        </is>
      </c>
      <c r="E9" t="inlineStr">
        <is>
          <t>TRELLEBORG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33033-2025</t>
        </is>
      </c>
      <c r="B10" s="1" t="n">
        <v>45840</v>
      </c>
      <c r="C10" s="1" t="n">
        <v>46193</v>
      </c>
      <c r="D10" t="inlineStr">
        <is>
          <t>SKÅNE LÄN</t>
        </is>
      </c>
      <c r="E10" t="inlineStr">
        <is>
          <t>TRELLEBORG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2026-06-20T00:48:41Z</dcterms:created>
  <dcterms:modified xmlns:dcterms="http://purl.org/dc/terms/" xmlns:xsi="http://www.w3.org/2001/XMLSchema-instance" xsi:type="dcterms:W3CDTF">2026-06-20T00:48:41Z</dcterms:modified>
</cp:coreProperties>
</file>