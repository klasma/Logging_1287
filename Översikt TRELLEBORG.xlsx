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E9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Typ</t>
        </is>
      </c>
      <c r="C1" t="inlineStr">
        <is>
          <t>Åtgärd</t>
        </is>
      </c>
      <c r="D1" t="inlineStr">
        <is>
          <t>Datum</t>
        </is>
      </c>
      <c r="E1" t="inlineStr">
        <is>
          <t>Förändrad</t>
        </is>
      </c>
      <c r="F1" t="inlineStr">
        <is>
          <t>Län</t>
        </is>
      </c>
      <c r="G1" t="inlineStr">
        <is>
          <t>Kommun</t>
        </is>
      </c>
      <c r="H1" t="inlineStr">
        <is>
          <t>Markägare</t>
        </is>
      </c>
      <c r="I1" t="inlineStr">
        <is>
          <t>Area (ha)</t>
        </is>
      </c>
      <c r="J1" t="inlineStr">
        <is>
          <t>Fridlysta</t>
        </is>
      </c>
      <c r="K1" t="inlineStr">
        <is>
          <t>Signalarter</t>
        </is>
      </c>
      <c r="L1" t="inlineStr">
        <is>
          <t>NT</t>
        </is>
      </c>
      <c r="M1" t="inlineStr">
        <is>
          <t>VU</t>
        </is>
      </c>
      <c r="N1" t="inlineStr">
        <is>
          <t>EN</t>
        </is>
      </c>
      <c r="O1" t="inlineStr">
        <is>
          <t>CR</t>
        </is>
      </c>
      <c r="P1" t="inlineStr">
        <is>
          <t>RE</t>
        </is>
      </c>
      <c r="Q1" t="inlineStr">
        <is>
          <t>Rödlistade</t>
        </is>
      </c>
      <c r="R1" t="inlineStr">
        <is>
          <t>Hotade</t>
        </is>
      </c>
      <c r="S1" t="inlineStr">
        <is>
          <t>Alla arter</t>
        </is>
      </c>
      <c r="T1" t="inlineStr">
        <is>
          <t>Fynd</t>
        </is>
      </c>
      <c r="U1" t="inlineStr">
        <is>
          <t>Nya fynd</t>
        </is>
      </c>
      <c r="V1" t="inlineStr">
        <is>
          <t>Artnamn</t>
        </is>
      </c>
      <c r="W1" t="inlineStr">
        <is>
          <t>Artfyndslänk</t>
        </is>
      </c>
      <c r="X1" t="inlineStr">
        <is>
          <t>Kartlänk</t>
        </is>
      </c>
      <c r="Y1" t="inlineStr">
        <is>
          <t>Geotifflänk</t>
        </is>
      </c>
      <c r="Z1" t="inlineStr">
        <is>
          <t>Knärotsbuffertlänk</t>
        </is>
      </c>
      <c r="AA1" t="inlineStr">
        <is>
          <t>Klagomålslänk</t>
        </is>
      </c>
      <c r="AB1" t="inlineStr">
        <is>
          <t>Klagomålsmaillänk</t>
        </is>
      </c>
      <c r="AC1" t="inlineStr">
        <is>
          <t>Tillsynsbegäranslänk</t>
        </is>
      </c>
      <c r="AD1" t="inlineStr">
        <is>
          <t>Tillsynsbegäransmaillänk</t>
        </is>
      </c>
      <c r="AE1" t="inlineStr">
        <is>
          <t>Fågeltillsynsbegäranslänk</t>
        </is>
      </c>
    </row>
    <row r="2" ht="15" customHeight="1">
      <c r="A2" t="inlineStr">
        <is>
          <t>A 25610-2024</t>
        </is>
      </c>
      <c r="B2" t="inlineStr">
        <is>
          <t>avverkningsanmälan</t>
        </is>
      </c>
      <c r="C2" t="inlineStr">
        <is>
          <t>Föryngringsavverkning</t>
        </is>
      </c>
      <c r="D2" s="1" t="n">
        <v>45463</v>
      </c>
      <c r="E2" s="1" t="n">
        <v>46307</v>
      </c>
      <c r="F2" t="inlineStr">
        <is>
          <t>SKÅNE LÄN</t>
        </is>
      </c>
      <c r="G2" t="inlineStr">
        <is>
          <t>TRELLEBORG</t>
        </is>
      </c>
      <c r="I2" t="n">
        <v>2.9</v>
      </c>
      <c r="J2" t="n">
        <v>0</v>
      </c>
      <c r="K2" t="n">
        <v>1</v>
      </c>
      <c r="L2" t="n">
        <v>0</v>
      </c>
      <c r="M2" t="n">
        <v>0</v>
      </c>
      <c r="N2" t="n">
        <v>0</v>
      </c>
      <c r="O2" t="n">
        <v>0</v>
      </c>
      <c r="P2" t="n">
        <v>0</v>
      </c>
      <c r="Q2" t="n">
        <v>0</v>
      </c>
      <c r="R2" t="n">
        <v>0</v>
      </c>
      <c r="S2" t="n">
        <v>1</v>
      </c>
      <c r="T2" t="n">
        <v>1</v>
      </c>
      <c r="U2" t="n">
        <v>0</v>
      </c>
      <c r="V2" s="2" t="inlineStr">
        <is>
          <t>Mandelriska</t>
        </is>
      </c>
      <c r="W2">
        <f>HYPERLINK("https://klasma.github.io/Logging_1287/artfynd/A 25610-2024 artfynd.xlsx", "A 25610-2024")</f>
        <v/>
      </c>
      <c r="X2">
        <f>HYPERLINK("https://klasma.github.io/Logging_1287/kartor/A 25610-2024 karta.png", "A 25610-2024")</f>
        <v/>
      </c>
      <c r="Y2">
        <f>HYPERLINK("https://klasma.github.io/Logging_1287/kartor_geotiff/A 25610-2024 georefererad karta.tif", "A 25610-2024")</f>
        <v/>
      </c>
      <c r="AA2">
        <f>HYPERLINK("https://klasma.github.io/Logging_1287/klagomål/A 25610-2024 FSC-klagomål.docx", "A 25610-2024")</f>
        <v/>
      </c>
      <c r="AB2">
        <f>HYPERLINK("https://klasma.github.io/Logging_1287/klagomålsmail/A 25610-2024 FSC-klagomål mail.docx", "A 25610-2024")</f>
        <v/>
      </c>
      <c r="AC2">
        <f>HYPERLINK("https://klasma.github.io/Logging_1287/tillsyn/A 25610-2024 tillsynsbegäran.docx", "A 25610-2024")</f>
        <v/>
      </c>
      <c r="AD2">
        <f>HYPERLINK("https://klasma.github.io/Logging_1287/tillsynsmail/A 25610-2024 tillsynsbegäran mail.docx", "A 25610-2024")</f>
        <v/>
      </c>
    </row>
    <row r="3" ht="15" customHeight="1">
      <c r="A3" t="inlineStr">
        <is>
          <t>A 57811-2022</t>
        </is>
      </c>
      <c r="B3" t="inlineStr">
        <is>
          <t>avverkningsanmälan</t>
        </is>
      </c>
      <c r="C3" t="inlineStr">
        <is>
          <t>Föryngringsavverkning</t>
        </is>
      </c>
      <c r="D3" s="1" t="n">
        <v>44897</v>
      </c>
      <c r="E3" s="1" t="n">
        <v>46307</v>
      </c>
      <c r="F3" t="inlineStr">
        <is>
          <t>SKÅNE LÄN</t>
        </is>
      </c>
      <c r="G3" t="inlineStr">
        <is>
          <t>TRELLEBORG</t>
        </is>
      </c>
      <c r="I3" t="n">
        <v>2.2</v>
      </c>
      <c r="J3" t="n">
        <v>0</v>
      </c>
      <c r="K3" t="n">
        <v>0</v>
      </c>
      <c r="L3" t="n">
        <v>1</v>
      </c>
      <c r="M3" t="n">
        <v>0</v>
      </c>
      <c r="N3" t="n">
        <v>0</v>
      </c>
      <c r="O3" t="n">
        <v>0</v>
      </c>
      <c r="P3" t="n">
        <v>0</v>
      </c>
      <c r="Q3" t="n">
        <v>1</v>
      </c>
      <c r="R3" t="n">
        <v>0</v>
      </c>
      <c r="S3" t="n">
        <v>1</v>
      </c>
      <c r="T3" t="n">
        <v>1</v>
      </c>
      <c r="U3" t="n">
        <v>1</v>
      </c>
      <c r="V3" s="2" t="inlineStr">
        <is>
          <t>Skogsveronika</t>
        </is>
      </c>
      <c r="W3">
        <f>HYPERLINK("https://klasma.github.io/Logging_1287/artfynd/A 57811-2022 artfynd.xlsx", "A 57811-2022")</f>
        <v/>
      </c>
      <c r="X3">
        <f>HYPERLINK("https://klasma.github.io/Logging_1287/kartor/A 57811-2022 karta.png", "A 57811-2022")</f>
        <v/>
      </c>
      <c r="Y3">
        <f>HYPERLINK("https://klasma.github.io/Logging_1287/kartor_geotiff/A 57811-2022 georefererad karta.tif", "A 57811-2022")</f>
        <v/>
      </c>
      <c r="AA3">
        <f>HYPERLINK("https://klasma.github.io/Logging_1287/klagomål/A 57811-2022 FSC-klagomål.docx", "A 57811-2022")</f>
        <v/>
      </c>
      <c r="AB3">
        <f>HYPERLINK("https://klasma.github.io/Logging_1287/klagomålsmail/A 57811-2022 FSC-klagomål mail.docx", "A 57811-2022")</f>
        <v/>
      </c>
      <c r="AC3">
        <f>HYPERLINK("https://klasma.github.io/Logging_1287/tillsyn/A 57811-2022 tillsynsbegäran.docx", "A 57811-2022")</f>
        <v/>
      </c>
      <c r="AD3">
        <f>HYPERLINK("https://klasma.github.io/Logging_1287/tillsynsmail/A 57811-2022 tillsynsbegäran mail.docx", "A 57811-2022")</f>
        <v/>
      </c>
    </row>
    <row r="4" ht="15" customHeight="1">
      <c r="A4" t="inlineStr">
        <is>
          <t>A 65642-2021</t>
        </is>
      </c>
      <c r="B4" t="inlineStr">
        <is>
          <t>avverkningsanmälan</t>
        </is>
      </c>
      <c r="C4" t="inlineStr">
        <is>
          <t>Avverkning för annat ändamål</t>
        </is>
      </c>
      <c r="D4" s="1" t="n">
        <v>44516</v>
      </c>
      <c r="E4" s="1" t="n">
        <v>46307</v>
      </c>
      <c r="F4" t="inlineStr">
        <is>
          <t>SKÅNE LÄN</t>
        </is>
      </c>
      <c r="G4" t="inlineStr">
        <is>
          <t>TRELLEBORG</t>
        </is>
      </c>
      <c r="I4" t="n">
        <v>0.2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0</v>
      </c>
      <c r="R4" t="n">
        <v>0</v>
      </c>
      <c r="S4" t="n">
        <v>0</v>
      </c>
      <c r="T4" t="n">
        <v>0</v>
      </c>
      <c r="U4" t="n">
        <v>0</v>
      </c>
      <c r="V4" s="2" t="inlineStr"/>
    </row>
    <row r="5" ht="15" customHeight="1">
      <c r="A5" t="inlineStr">
        <is>
          <t>A 65675-2021</t>
        </is>
      </c>
      <c r="B5" t="inlineStr">
        <is>
          <t>avverkningsanmälan</t>
        </is>
      </c>
      <c r="C5" t="inlineStr">
        <is>
          <t>Föryngringsavverkning</t>
        </is>
      </c>
      <c r="D5" s="1" t="n">
        <v>44516</v>
      </c>
      <c r="E5" s="1" t="n">
        <v>46307</v>
      </c>
      <c r="F5" t="inlineStr">
        <is>
          <t>SKÅNE LÄN</t>
        </is>
      </c>
      <c r="G5" t="inlineStr">
        <is>
          <t>TRELLEBORG</t>
        </is>
      </c>
      <c r="I5" t="n">
        <v>2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0</v>
      </c>
      <c r="R5" t="n">
        <v>0</v>
      </c>
      <c r="S5" t="n">
        <v>0</v>
      </c>
      <c r="T5" t="n">
        <v>0</v>
      </c>
      <c r="U5" t="n">
        <v>0</v>
      </c>
      <c r="V5" s="2" t="inlineStr"/>
    </row>
    <row r="6" ht="15" customHeight="1">
      <c r="A6" t="inlineStr">
        <is>
          <t>A 65640-2021</t>
        </is>
      </c>
      <c r="B6" t="inlineStr">
        <is>
          <t>avverkningsanmälan</t>
        </is>
      </c>
      <c r="C6" t="inlineStr">
        <is>
          <t>Avverkning för annat ändamål</t>
        </is>
      </c>
      <c r="D6" s="1" t="n">
        <v>44516</v>
      </c>
      <c r="E6" s="1" t="n">
        <v>46307</v>
      </c>
      <c r="F6" t="inlineStr">
        <is>
          <t>SKÅNE LÄN</t>
        </is>
      </c>
      <c r="G6" t="inlineStr">
        <is>
          <t>TRELLEBORG</t>
        </is>
      </c>
      <c r="I6" t="n">
        <v>1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0</v>
      </c>
      <c r="R6" t="n">
        <v>0</v>
      </c>
      <c r="S6" t="n">
        <v>0</v>
      </c>
      <c r="T6" t="n">
        <v>0</v>
      </c>
      <c r="U6" t="n">
        <v>0</v>
      </c>
      <c r="V6" s="2" t="inlineStr"/>
    </row>
    <row r="7" ht="15" customHeight="1">
      <c r="A7" t="inlineStr">
        <is>
          <t>A 57810-2022</t>
        </is>
      </c>
      <c r="B7" t="inlineStr">
        <is>
          <t>avverkningsanmälan</t>
        </is>
      </c>
      <c r="C7" t="inlineStr">
        <is>
          <t>Föryngringsavverkning</t>
        </is>
      </c>
      <c r="D7" s="1" t="n">
        <v>44897</v>
      </c>
      <c r="E7" s="1" t="n">
        <v>46307</v>
      </c>
      <c r="F7" t="inlineStr">
        <is>
          <t>SKÅNE LÄN</t>
        </is>
      </c>
      <c r="G7" t="inlineStr">
        <is>
          <t>TRELLEBORG</t>
        </is>
      </c>
      <c r="I7" t="n">
        <v>3.3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0</v>
      </c>
      <c r="R7" t="n">
        <v>0</v>
      </c>
      <c r="S7" t="n">
        <v>0</v>
      </c>
      <c r="T7" t="n">
        <v>0</v>
      </c>
      <c r="U7" t="n">
        <v>0</v>
      </c>
      <c r="V7" s="2" t="inlineStr"/>
    </row>
    <row r="8" ht="15" customHeight="1">
      <c r="A8" t="inlineStr">
        <is>
          <t>A 6314-2022</t>
        </is>
      </c>
      <c r="B8" t="inlineStr">
        <is>
          <t>avverkningsanmälan</t>
        </is>
      </c>
      <c r="C8" t="inlineStr">
        <is>
          <t>Föryngringsavverkning</t>
        </is>
      </c>
      <c r="D8" s="1" t="n">
        <v>44600</v>
      </c>
      <c r="E8" s="1" t="n">
        <v>46307</v>
      </c>
      <c r="F8" t="inlineStr">
        <is>
          <t>SKÅNE LÄN</t>
        </is>
      </c>
      <c r="G8" t="inlineStr">
        <is>
          <t>TRELLEBORG</t>
        </is>
      </c>
      <c r="I8" t="n">
        <v>3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t="n">
        <v>0</v>
      </c>
      <c r="S8" t="n">
        <v>0</v>
      </c>
      <c r="T8" t="n">
        <v>0</v>
      </c>
      <c r="U8" t="n">
        <v>0</v>
      </c>
      <c r="V8" s="2" t="inlineStr"/>
    </row>
    <row r="9">
      <c r="A9" t="inlineStr">
        <is>
          <t>S 2345-2025</t>
        </is>
      </c>
      <c r="B9" t="inlineStr">
        <is>
          <t>samrådsanmälan</t>
        </is>
      </c>
      <c r="C9" t="inlineStr">
        <is>
          <t>Askåterföring</t>
        </is>
      </c>
      <c r="D9" s="1" t="n">
        <v>45887</v>
      </c>
      <c r="E9" s="1" t="n">
        <v>46307</v>
      </c>
      <c r="F9" t="inlineStr">
        <is>
          <t>SKÅNE LÄN</t>
        </is>
      </c>
      <c r="G9" t="inlineStr">
        <is>
          <t>TRELLEBORG</t>
        </is>
      </c>
      <c r="I9" t="n">
        <v>6.2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t="n">
        <v>0</v>
      </c>
      <c r="S9" t="n">
        <v>0</v>
      </c>
      <c r="T9" t="n">
        <v>0</v>
      </c>
      <c r="U9" t="n">
        <v>0</v>
      </c>
      <c r="V9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2026-10-12T02:02:35Z</dcterms:created>
  <dcterms:modified xmlns:dcterms="http://purl.org/dc/terms/" xmlns:xsi="http://www.w3.org/2001/XMLSchema-instance" xsi:type="dcterms:W3CDTF">2026-10-12T02:02:35Z</dcterms:modified>
</cp:coreProperties>
</file>