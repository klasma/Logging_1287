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Avverkningsanmälningar" sheetId="1" state="visible" r:id="rId1"/>
  </sheets>
  <definedNames/>
  <calcPr calcId="124519" fullCalcOnLoad="1"/>
</workbook>
</file>

<file path=xl/styles.xml><?xml version="1.0" encoding="utf-8"?>
<styleSheet xmlns="http://schemas.openxmlformats.org/spreadsheetml/2006/main">
  <numFmts count="3">
    <numFmt numFmtId="164" formatCode="yyyy-mm-dd h:mm:ss"/>
    <numFmt numFmtId="165" formatCode="YYYY-MM-DD"/>
    <numFmt numFmtId="166" formatCode="yyyy-mm-dd"/>
  </numFmts>
  <fonts count="1">
    <font>
      <name val="Calibri"/>
      <family val="2"/>
      <color theme="1"/>
      <sz val="11"/>
      <scheme val="minor"/>
    </font>
  </fonts>
  <fills count="2">
    <fill>
      <patternFill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3">
    <xf numFmtId="0" fontId="0" fillId="0" borderId="0" pivotButton="0" quotePrefix="0" xfId="0"/>
    <xf numFmtId="165" fontId="0" fillId="0" borderId="0" pivotButton="0" quotePrefix="0" xfId="0"/>
    <xf numFmtId="0" fontId="0" fillId="0" borderId="0" applyAlignment="1" pivotButton="0" quotePrefix="0" xfId="0">
      <alignment wrapText="1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styles" Target="styles.xml" Id="rId2"/><Relationship Type="http://schemas.openxmlformats.org/officeDocument/2006/relationships/theme" Target="theme/theme1.xml" Id="rId3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Z10"/>
  <sheetViews>
    <sheetView workbookViewId="0">
      <pane xSplit="1" ySplit="1" topLeftCell="B2" activePane="bottomRight" state="frozen"/>
      <selection pane="topRight"/>
      <selection pane="bottomLeft"/>
      <selection pane="bottomRight" activeCell="A1" sqref="A1"/>
    </sheetView>
  </sheetViews>
  <sheetFormatPr baseColWidth="8" defaultRowHeight="15"/>
  <sheetData>
    <row r="0" ht="15" customHeight="1"/>
    <row r="1" ht="15" customHeight="1">
      <c r="A1" t="inlineStr">
        <is>
          <t>Beteckning</t>
        </is>
      </c>
      <c r="B1" t="inlineStr">
        <is>
          <t>Datum</t>
        </is>
      </c>
      <c r="C1" t="inlineStr">
        <is>
          <t>Förändrad</t>
        </is>
      </c>
      <c r="D1" t="inlineStr">
        <is>
          <t>Län</t>
        </is>
      </c>
      <c r="E1" t="inlineStr">
        <is>
          <t>Kommun</t>
        </is>
      </c>
      <c r="F1" t="inlineStr">
        <is>
          <t>Markägare</t>
        </is>
      </c>
      <c r="G1" t="inlineStr">
        <is>
          <t>Area (ha)</t>
        </is>
      </c>
      <c r="H1" t="inlineStr">
        <is>
          <t>Fridlysta</t>
        </is>
      </c>
      <c r="I1" t="inlineStr">
        <is>
          <t>Signalarter</t>
        </is>
      </c>
      <c r="J1" t="inlineStr">
        <is>
          <t>NT</t>
        </is>
      </c>
      <c r="K1" t="inlineStr">
        <is>
          <t>VU</t>
        </is>
      </c>
      <c r="L1" t="inlineStr">
        <is>
          <t>EN</t>
        </is>
      </c>
      <c r="M1" t="inlineStr">
        <is>
          <t>CR</t>
        </is>
      </c>
      <c r="N1" t="inlineStr">
        <is>
          <t>RE</t>
        </is>
      </c>
      <c r="O1" t="inlineStr">
        <is>
          <t>Rödlistade</t>
        </is>
      </c>
      <c r="P1" t="inlineStr">
        <is>
          <t>Hotade</t>
        </is>
      </c>
      <c r="Q1" t="inlineStr">
        <is>
          <t>Alla arter</t>
        </is>
      </c>
      <c r="R1" t="inlineStr">
        <is>
          <t>Artnamn</t>
        </is>
      </c>
      <c r="S1" t="inlineStr">
        <is>
          <t>Artfyndslänk</t>
        </is>
      </c>
      <c r="T1" t="inlineStr">
        <is>
          <t>Kartlänk</t>
        </is>
      </c>
      <c r="U1" t="inlineStr">
        <is>
          <t>Knärotsbuffertlänk</t>
        </is>
      </c>
      <c r="V1" t="inlineStr">
        <is>
          <t>Klagomålslänk</t>
        </is>
      </c>
      <c r="W1" t="inlineStr">
        <is>
          <t>Klagomålsmaillänk</t>
        </is>
      </c>
      <c r="X1" t="inlineStr">
        <is>
          <t>Tillsynsbegäranslänk</t>
        </is>
      </c>
      <c r="Y1" t="inlineStr">
        <is>
          <t>Tillsynsbegäransmaillänk</t>
        </is>
      </c>
      <c r="Z1" t="inlineStr">
        <is>
          <t>Fågeltillsynsbegäranslänk</t>
        </is>
      </c>
    </row>
    <row r="2" ht="15" customHeight="1">
      <c r="A2" t="inlineStr">
        <is>
          <t>A 57811-2022</t>
        </is>
      </c>
      <c r="B2" s="1" t="n">
        <v>44897</v>
      </c>
      <c r="C2" s="1" t="n">
        <v>46132</v>
      </c>
      <c r="D2" t="inlineStr">
        <is>
          <t>SKÅNE LÄN</t>
        </is>
      </c>
      <c r="E2" t="inlineStr">
        <is>
          <t>TRELLEBORG</t>
        </is>
      </c>
      <c r="G2" t="n">
        <v>2.2</v>
      </c>
      <c r="H2" t="n">
        <v>0</v>
      </c>
      <c r="I2" t="n">
        <v>0</v>
      </c>
      <c r="J2" t="n">
        <v>1</v>
      </c>
      <c r="K2" t="n">
        <v>0</v>
      </c>
      <c r="L2" t="n">
        <v>0</v>
      </c>
      <c r="M2" t="n">
        <v>0</v>
      </c>
      <c r="N2" t="n">
        <v>0</v>
      </c>
      <c r="O2" t="n">
        <v>1</v>
      </c>
      <c r="P2" t="n">
        <v>0</v>
      </c>
      <c r="Q2" t="n">
        <v>1</v>
      </c>
      <c r="R2" s="2" t="inlineStr">
        <is>
          <t>Skogsveronika</t>
        </is>
      </c>
      <c r="S2">
        <f>HYPERLINK("https://klasma.github.io/Logging_1287/artfynd/A 57811-2022 artfynd.xlsx", "A 57811-2022")</f>
        <v/>
      </c>
      <c r="T2">
        <f>HYPERLINK("https://klasma.github.io/Logging_1287/kartor/A 57811-2022 karta.png", "A 57811-2022")</f>
        <v/>
      </c>
      <c r="V2">
        <f>HYPERLINK("https://klasma.github.io/Logging_1287/klagomål/A 57811-2022 FSC-klagomål.docx", "A 57811-2022")</f>
        <v/>
      </c>
      <c r="W2">
        <f>HYPERLINK("https://klasma.github.io/Logging_1287/klagomålsmail/A 57811-2022 FSC-klagomål mail.docx", "A 57811-2022")</f>
        <v/>
      </c>
      <c r="X2">
        <f>HYPERLINK("https://klasma.github.io/Logging_1287/tillsyn/A 57811-2022 tillsynsbegäran.docx", "A 57811-2022")</f>
        <v/>
      </c>
      <c r="Y2">
        <f>HYPERLINK("https://klasma.github.io/Logging_1287/tillsynsmail/A 57811-2022 tillsynsbegäran mail.docx", "A 57811-2022")</f>
        <v/>
      </c>
    </row>
    <row r="3" ht="15" customHeight="1">
      <c r="A3" t="inlineStr">
        <is>
          <t>A 65642-2021</t>
        </is>
      </c>
      <c r="B3" s="1" t="n">
        <v>44516</v>
      </c>
      <c r="C3" s="1" t="n">
        <v>46132</v>
      </c>
      <c r="D3" t="inlineStr">
        <is>
          <t>SKÅNE LÄN</t>
        </is>
      </c>
      <c r="E3" t="inlineStr">
        <is>
          <t>TRELLEBORG</t>
        </is>
      </c>
      <c r="G3" t="n">
        <v>0.2</v>
      </c>
      <c r="H3" t="n">
        <v>0</v>
      </c>
      <c r="I3" t="n">
        <v>0</v>
      </c>
      <c r="J3" t="n">
        <v>0</v>
      </c>
      <c r="K3" t="n">
        <v>0</v>
      </c>
      <c r="L3" t="n">
        <v>0</v>
      </c>
      <c r="M3" t="n">
        <v>0</v>
      </c>
      <c r="N3" t="n">
        <v>0</v>
      </c>
      <c r="O3" t="n">
        <v>0</v>
      </c>
      <c r="P3" t="n">
        <v>0</v>
      </c>
      <c r="Q3" t="n">
        <v>0</v>
      </c>
      <c r="R3" s="2" t="inlineStr"/>
    </row>
    <row r="4" ht="15" customHeight="1">
      <c r="A4" t="inlineStr">
        <is>
          <t>A 65675-2021</t>
        </is>
      </c>
      <c r="B4" s="1" t="n">
        <v>44516</v>
      </c>
      <c r="C4" s="1" t="n">
        <v>46132</v>
      </c>
      <c r="D4" t="inlineStr">
        <is>
          <t>SKÅNE LÄN</t>
        </is>
      </c>
      <c r="E4" t="inlineStr">
        <is>
          <t>TRELLEBORG</t>
        </is>
      </c>
      <c r="G4" t="n">
        <v>2</v>
      </c>
      <c r="H4" t="n">
        <v>0</v>
      </c>
      <c r="I4" t="n">
        <v>0</v>
      </c>
      <c r="J4" t="n">
        <v>0</v>
      </c>
      <c r="K4" t="n">
        <v>0</v>
      </c>
      <c r="L4" t="n">
        <v>0</v>
      </c>
      <c r="M4" t="n">
        <v>0</v>
      </c>
      <c r="N4" t="n">
        <v>0</v>
      </c>
      <c r="O4" t="n">
        <v>0</v>
      </c>
      <c r="P4" t="n">
        <v>0</v>
      </c>
      <c r="Q4" t="n">
        <v>0</v>
      </c>
      <c r="R4" s="2" t="inlineStr"/>
    </row>
    <row r="5" ht="15" customHeight="1">
      <c r="A5" t="inlineStr">
        <is>
          <t>A 65640-2021</t>
        </is>
      </c>
      <c r="B5" s="1" t="n">
        <v>44516</v>
      </c>
      <c r="C5" s="1" t="n">
        <v>46132</v>
      </c>
      <c r="D5" t="inlineStr">
        <is>
          <t>SKÅNE LÄN</t>
        </is>
      </c>
      <c r="E5" t="inlineStr">
        <is>
          <t>TRELLEBORG</t>
        </is>
      </c>
      <c r="G5" t="n">
        <v>1</v>
      </c>
      <c r="H5" t="n">
        <v>0</v>
      </c>
      <c r="I5" t="n">
        <v>0</v>
      </c>
      <c r="J5" t="n">
        <v>0</v>
      </c>
      <c r="K5" t="n">
        <v>0</v>
      </c>
      <c r="L5" t="n">
        <v>0</v>
      </c>
      <c r="M5" t="n">
        <v>0</v>
      </c>
      <c r="N5" t="n">
        <v>0</v>
      </c>
      <c r="O5" t="n">
        <v>0</v>
      </c>
      <c r="P5" t="n">
        <v>0</v>
      </c>
      <c r="Q5" t="n">
        <v>0</v>
      </c>
      <c r="R5" s="2" t="inlineStr"/>
    </row>
    <row r="6" ht="15" customHeight="1">
      <c r="A6" t="inlineStr">
        <is>
          <t>A 57810-2022</t>
        </is>
      </c>
      <c r="B6" s="1" t="n">
        <v>44897</v>
      </c>
      <c r="C6" s="1" t="n">
        <v>46132</v>
      </c>
      <c r="D6" t="inlineStr">
        <is>
          <t>SKÅNE LÄN</t>
        </is>
      </c>
      <c r="E6" t="inlineStr">
        <is>
          <t>TRELLEBORG</t>
        </is>
      </c>
      <c r="G6" t="n">
        <v>3.3</v>
      </c>
      <c r="H6" t="n">
        <v>0</v>
      </c>
      <c r="I6" t="n">
        <v>0</v>
      </c>
      <c r="J6" t="n">
        <v>0</v>
      </c>
      <c r="K6" t="n">
        <v>0</v>
      </c>
      <c r="L6" t="n">
        <v>0</v>
      </c>
      <c r="M6" t="n">
        <v>0</v>
      </c>
      <c r="N6" t="n">
        <v>0</v>
      </c>
      <c r="O6" t="n">
        <v>0</v>
      </c>
      <c r="P6" t="n">
        <v>0</v>
      </c>
      <c r="Q6" t="n">
        <v>0</v>
      </c>
      <c r="R6" s="2" t="inlineStr"/>
    </row>
    <row r="7" ht="15" customHeight="1">
      <c r="A7" t="inlineStr">
        <is>
          <t>A 33037-2025</t>
        </is>
      </c>
      <c r="B7" s="1" t="n">
        <v>45840.39623842593</v>
      </c>
      <c r="C7" s="1" t="n">
        <v>46132</v>
      </c>
      <c r="D7" t="inlineStr">
        <is>
          <t>SKÅNE LÄN</t>
        </is>
      </c>
      <c r="E7" t="inlineStr">
        <is>
          <t>TRELLEBORG</t>
        </is>
      </c>
      <c r="G7" t="n">
        <v>0.8</v>
      </c>
      <c r="H7" t="n">
        <v>0</v>
      </c>
      <c r="I7" t="n">
        <v>0</v>
      </c>
      <c r="J7" t="n">
        <v>0</v>
      </c>
      <c r="K7" t="n">
        <v>0</v>
      </c>
      <c r="L7" t="n">
        <v>0</v>
      </c>
      <c r="M7" t="n">
        <v>0</v>
      </c>
      <c r="N7" t="n">
        <v>0</v>
      </c>
      <c r="O7" t="n">
        <v>0</v>
      </c>
      <c r="P7" t="n">
        <v>0</v>
      </c>
      <c r="Q7" t="n">
        <v>0</v>
      </c>
      <c r="R7" s="2" t="inlineStr"/>
    </row>
    <row r="8" ht="15" customHeight="1">
      <c r="A8" t="inlineStr">
        <is>
          <t>A 33033-2025</t>
        </is>
      </c>
      <c r="B8" s="1" t="n">
        <v>45840.39188657407</v>
      </c>
      <c r="C8" s="1" t="n">
        <v>46132</v>
      </c>
      <c r="D8" t="inlineStr">
        <is>
          <t>SKÅNE LÄN</t>
        </is>
      </c>
      <c r="E8" t="inlineStr">
        <is>
          <t>TRELLEBORG</t>
        </is>
      </c>
      <c r="G8" t="n">
        <v>0.7</v>
      </c>
      <c r="H8" t="n">
        <v>0</v>
      </c>
      <c r="I8" t="n">
        <v>0</v>
      </c>
      <c r="J8" t="n">
        <v>0</v>
      </c>
      <c r="K8" t="n">
        <v>0</v>
      </c>
      <c r="L8" t="n">
        <v>0</v>
      </c>
      <c r="M8" t="n">
        <v>0</v>
      </c>
      <c r="N8" t="n">
        <v>0</v>
      </c>
      <c r="O8" t="n">
        <v>0</v>
      </c>
      <c r="P8" t="n">
        <v>0</v>
      </c>
      <c r="Q8" t="n">
        <v>0</v>
      </c>
      <c r="R8" s="2" t="inlineStr"/>
    </row>
    <row r="9" ht="15" customHeight="1">
      <c r="A9" t="inlineStr">
        <is>
          <t>A 6314-2022</t>
        </is>
      </c>
      <c r="B9" s="1" t="n">
        <v>44600</v>
      </c>
      <c r="C9" s="1" t="n">
        <v>46132</v>
      </c>
      <c r="D9" t="inlineStr">
        <is>
          <t>SKÅNE LÄN</t>
        </is>
      </c>
      <c r="E9" t="inlineStr">
        <is>
          <t>TRELLEBORG</t>
        </is>
      </c>
      <c r="G9" t="n">
        <v>3</v>
      </c>
      <c r="H9" t="n">
        <v>0</v>
      </c>
      <c r="I9" t="n">
        <v>0</v>
      </c>
      <c r="J9" t="n">
        <v>0</v>
      </c>
      <c r="K9" t="n">
        <v>0</v>
      </c>
      <c r="L9" t="n">
        <v>0</v>
      </c>
      <c r="M9" t="n">
        <v>0</v>
      </c>
      <c r="N9" t="n">
        <v>0</v>
      </c>
      <c r="O9" t="n">
        <v>0</v>
      </c>
      <c r="P9" t="n">
        <v>0</v>
      </c>
      <c r="Q9" t="n">
        <v>0</v>
      </c>
      <c r="R9" s="2" t="inlineStr"/>
    </row>
    <row r="10">
      <c r="A10" t="inlineStr">
        <is>
          <t>A 25610-2024</t>
        </is>
      </c>
      <c r="B10" s="1" t="n">
        <v>45463</v>
      </c>
      <c r="C10" s="1" t="n">
        <v>46132</v>
      </c>
      <c r="D10" t="inlineStr">
        <is>
          <t>SKÅNE LÄN</t>
        </is>
      </c>
      <c r="E10" t="inlineStr">
        <is>
          <t>TRELLEBORG</t>
        </is>
      </c>
      <c r="G10" t="n">
        <v>2.9</v>
      </c>
      <c r="H10" t="n">
        <v>0</v>
      </c>
      <c r="I10" t="n">
        <v>0</v>
      </c>
      <c r="J10" t="n">
        <v>0</v>
      </c>
      <c r="K10" t="n">
        <v>0</v>
      </c>
      <c r="L10" t="n">
        <v>0</v>
      </c>
      <c r="M10" t="n">
        <v>0</v>
      </c>
      <c r="N10" t="n">
        <v>0</v>
      </c>
      <c r="O10" t="n">
        <v>0</v>
      </c>
      <c r="P10" t="n">
        <v>0</v>
      </c>
      <c r="Q10" t="n">
        <v>0</v>
      </c>
      <c r="R10" s="2" t="inlineStr"/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</Application>
  <AppVersion>3.1.4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2026-04-20T10:32:45Z</dcterms:created>
  <dcterms:modified xmlns:dcterms="http://purl.org/dc/terms/" xmlns:xsi="http://www.w3.org/2001/XMLSchema-instance" xsi:type="dcterms:W3CDTF">2026-04-20T10:32:45Z</dcterms:modified>
</cp:coreProperties>
</file>