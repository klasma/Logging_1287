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25610-2024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45463</v>
      </c>
      <c r="E2" s="1" t="n">
        <v>46314</v>
      </c>
      <c r="F2" t="inlineStr">
        <is>
          <t>SKÅNE LÄN</t>
        </is>
      </c>
      <c r="G2" t="inlineStr">
        <is>
          <t>TRELLEBORG</t>
        </is>
      </c>
      <c r="I2" t="n">
        <v>2.9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s="2" t="inlineStr">
        <is>
          <t>Mandelriska</t>
        </is>
      </c>
      <c r="W2">
        <f>HYPERLINK("https://klasma.github.io/Logging_1287/artfynd/A 25610-2024 artfynd.xlsx", "A 25610-2024")</f>
        <v/>
      </c>
      <c r="X2">
        <f>HYPERLINK("https://klasma.github.io/Logging_1287/kartor/A 25610-2024 karta.png", "A 25610-2024")</f>
        <v/>
      </c>
      <c r="Y2">
        <f>HYPERLINK("https://klasma.github.io/Logging_1287/kartor_geotiff/A 25610-2024 georefererad karta.tif", "A 25610-2024")</f>
        <v/>
      </c>
      <c r="AA2">
        <f>HYPERLINK("https://klasma.github.io/Logging_1287/klagomål/A 25610-2024 FSC-klagomål.docx", "A 25610-2024")</f>
        <v/>
      </c>
      <c r="AB2">
        <f>HYPERLINK("https://klasma.github.io/Logging_1287/klagomålsmail/A 25610-2024 FSC-klagomål mail.docx", "A 25610-2024")</f>
        <v/>
      </c>
      <c r="AC2">
        <f>HYPERLINK("https://klasma.github.io/Logging_1287/tillsyn/A 25610-2024 tillsynsbegäran.docx", "A 25610-2024")</f>
        <v/>
      </c>
      <c r="AD2">
        <f>HYPERLINK("https://klasma.github.io/Logging_1287/tillsynsmail/A 25610-2024 tillsynsbegäran mail.docx", "A 25610-2024")</f>
        <v/>
      </c>
    </row>
    <row r="3" ht="15" customHeight="1">
      <c r="A3" t="inlineStr">
        <is>
          <t>A 57811-2022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44897</v>
      </c>
      <c r="E3" s="1" t="n">
        <v>46314</v>
      </c>
      <c r="F3" t="inlineStr">
        <is>
          <t>SKÅNE LÄN</t>
        </is>
      </c>
      <c r="G3" t="inlineStr">
        <is>
          <t>TRELLEBORG</t>
        </is>
      </c>
      <c r="I3" t="n">
        <v>2.2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s="2" t="inlineStr">
        <is>
          <t>Skogsveronika</t>
        </is>
      </c>
      <c r="W3">
        <f>HYPERLINK("https://klasma.github.io/Logging_1287/artfynd/A 57811-2022 artfynd.xlsx", "A 57811-2022")</f>
        <v/>
      </c>
      <c r="X3">
        <f>HYPERLINK("https://klasma.github.io/Logging_1287/kartor/A 57811-2022 karta.png", "A 57811-2022")</f>
        <v/>
      </c>
      <c r="Y3">
        <f>HYPERLINK("https://klasma.github.io/Logging_1287/kartor_geotiff/A 57811-2022 georefererad karta.tif", "A 57811-2022")</f>
        <v/>
      </c>
      <c r="AA3">
        <f>HYPERLINK("https://klasma.github.io/Logging_1287/klagomål/A 57811-2022 FSC-klagomål.docx", "A 57811-2022")</f>
        <v/>
      </c>
      <c r="AB3">
        <f>HYPERLINK("https://klasma.github.io/Logging_1287/klagomålsmail/A 57811-2022 FSC-klagomål mail.docx", "A 57811-2022")</f>
        <v/>
      </c>
      <c r="AC3">
        <f>HYPERLINK("https://klasma.github.io/Logging_1287/tillsyn/A 57811-2022 tillsynsbegäran.docx", "A 57811-2022")</f>
        <v/>
      </c>
      <c r="AD3">
        <f>HYPERLINK("https://klasma.github.io/Logging_1287/tillsynsmail/A 57811-2022 tillsynsbegäran mail.docx", "A 57811-2022")</f>
        <v/>
      </c>
    </row>
    <row r="4" ht="15" customHeight="1">
      <c r="A4" t="inlineStr">
        <is>
          <t>A 65642-2021</t>
        </is>
      </c>
      <c r="B4" t="inlineStr">
        <is>
          <t>avverkningsanmälan</t>
        </is>
      </c>
      <c r="C4" t="inlineStr">
        <is>
          <t>Avverkning för annat ändamål</t>
        </is>
      </c>
      <c r="D4" s="1" t="n">
        <v>44516</v>
      </c>
      <c r="E4" s="1" t="n">
        <v>46314</v>
      </c>
      <c r="F4" t="inlineStr">
        <is>
          <t>SKÅNE LÄN</t>
        </is>
      </c>
      <c r="G4" t="inlineStr">
        <is>
          <t>TRELLEBORG</t>
        </is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s="2" t="inlineStr"/>
    </row>
    <row r="5" ht="15" customHeight="1">
      <c r="A5" t="inlineStr">
        <is>
          <t>A 65675-2021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44516</v>
      </c>
      <c r="E5" s="1" t="n">
        <v>46314</v>
      </c>
      <c r="F5" t="inlineStr">
        <is>
          <t>SKÅNE LÄN</t>
        </is>
      </c>
      <c r="G5" t="inlineStr">
        <is>
          <t>TRELLEBORG</t>
        </is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s="2" t="inlineStr"/>
    </row>
    <row r="6" ht="15" customHeight="1">
      <c r="A6" t="inlineStr">
        <is>
          <t>A 65640-2021</t>
        </is>
      </c>
      <c r="B6" t="inlineStr">
        <is>
          <t>avverkningsanmälan</t>
        </is>
      </c>
      <c r="C6" t="inlineStr">
        <is>
          <t>Avverkning för annat ändamål</t>
        </is>
      </c>
      <c r="D6" s="1" t="n">
        <v>44516</v>
      </c>
      <c r="E6" s="1" t="n">
        <v>46314</v>
      </c>
      <c r="F6" t="inlineStr">
        <is>
          <t>SKÅNE LÄN</t>
        </is>
      </c>
      <c r="G6" t="inlineStr">
        <is>
          <t>TRELLEBORG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s="2" t="inlineStr"/>
    </row>
    <row r="7" ht="15" customHeight="1">
      <c r="A7" t="inlineStr">
        <is>
          <t>A 6314-2022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44600</v>
      </c>
      <c r="E7" s="1" t="n">
        <v>46314</v>
      </c>
      <c r="F7" t="inlineStr">
        <is>
          <t>SKÅNE LÄN</t>
        </is>
      </c>
      <c r="G7" t="inlineStr">
        <is>
          <t>TRELLEBORG</t>
        </is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s="2" t="inlineStr"/>
    </row>
    <row r="8" ht="15" customHeight="1">
      <c r="A8" t="inlineStr">
        <is>
          <t>A 57810-2022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44897</v>
      </c>
      <c r="E8" s="1" t="n">
        <v>46314</v>
      </c>
      <c r="F8" t="inlineStr">
        <is>
          <t>SKÅNE LÄN</t>
        </is>
      </c>
      <c r="G8" t="inlineStr">
        <is>
          <t>TRELLEBORG</t>
        </is>
      </c>
      <c r="I8" t="n">
        <v>3.3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s="2" t="inlineStr"/>
    </row>
    <row r="9">
      <c r="A9" t="inlineStr">
        <is>
          <t>S 2345-2025</t>
        </is>
      </c>
      <c r="B9" t="inlineStr">
        <is>
          <t>samrådsanmälan</t>
        </is>
      </c>
      <c r="C9" t="inlineStr">
        <is>
          <t>Askåterföring</t>
        </is>
      </c>
      <c r="D9" s="1" t="n">
        <v>45887</v>
      </c>
      <c r="E9" s="1" t="n">
        <v>46314</v>
      </c>
      <c r="F9" t="inlineStr">
        <is>
          <t>SKÅNE LÄN</t>
        </is>
      </c>
      <c r="G9" t="inlineStr">
        <is>
          <t>TRELLEBORG</t>
        </is>
      </c>
      <c r="I9" t="n">
        <v>6.2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2026-10-19T02:02:45Z</dcterms:created>
  <dcterms:modified xmlns:dcterms="http://purl.org/dc/terms/" xmlns:xsi="http://www.w3.org/2001/XMLSchema-instance" xsi:type="dcterms:W3CDTF">2026-10-19T02:02:45Z</dcterms:modified>
</cp:coreProperties>
</file>